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Dashboard" state="visible" r:id="rId4"/>
    <sheet sheetId="2" name="Log Keluhan" state="visible" r:id="rId5"/>
    <sheet sheetId="3" name="Legenda &amp; Panduan" state="visible" r:id="rId6"/>
  </sheets>
  <calcPr calcId="171027" fullCalcOnLoad="1"/>
</workbook>
</file>

<file path=xl/sharedStrings.xml><?xml version="1.0" encoding="utf-8"?>
<sst xmlns="http://schemas.openxmlformats.org/spreadsheetml/2006/main" count="90" uniqueCount="73">
  <si>
    <t>IT SUPPORT — DASHBOARD PENANGANAN KELUHAN CLIENT</t>
  </si>
  <si>
    <t>Ringkasan otomatis dari data pada sheet 'Log Keluhan'</t>
  </si>
  <si>
    <t>RINGKASAN TIKET</t>
  </si>
  <si>
    <t>Total Tiket</t>
  </si>
  <si>
    <t>Open</t>
  </si>
  <si>
    <t>In Progress</t>
  </si>
  <si>
    <t>Selesai (Closed)</t>
  </si>
  <si>
    <t>Prioritas Tinggi</t>
  </si>
  <si>
    <t>JUMLAH TIKET PER KATEGORI MASALAH</t>
  </si>
  <si>
    <t>Kategori</t>
  </si>
  <si>
    <t>Jumlah Tiket</t>
  </si>
  <si>
    <t>Hardware</t>
  </si>
  <si>
    <t>Software</t>
  </si>
  <si>
    <t>Jaringan/Network</t>
  </si>
  <si>
    <t>Akun/Akses (Login)</t>
  </si>
  <si>
    <t>Printer/Peripheral</t>
  </si>
  <si>
    <t>Lainnya</t>
  </si>
  <si>
    <t>Catatan:</t>
  </si>
  <si>
    <t>1. Dashboard ini terhubung otomatis (formula) ke sheet 'Log Keluhan'.</t>
  </si>
  <si>
    <t>2. Cukup isi data tiket baru di sheet 'Log Keluhan', angka di atas akan ter-update sendiri.</t>
  </si>
  <si>
    <t>3. Gunakan sheet 'Legenda &amp; Panduan' untuk melihat daftar nilai baku (Status, Prioritas, Kategori).</t>
  </si>
  <si>
    <t>LOG PENANGANAN KELUHAN CLIENT — IT SUPPORT</t>
  </si>
  <si>
    <t>Diisi oleh staf IT Support setiap ada tiket/keluhan baru dari client. Sel berwarna kuning wajib diisi manual.</t>
  </si>
  <si>
    <t>Periode: _____________     Disusun oleh: Farid — IT Support</t>
  </si>
  <si>
    <t>No</t>
  </si>
  <si>
    <t>Tanggal Lapor</t>
  </si>
  <si>
    <t>Nama Client</t>
  </si>
  <si>
    <t>Departemen / Unit</t>
  </si>
  <si>
    <t>Kategori Masalah</t>
  </si>
  <si>
    <t>Deskripsi Keluhan</t>
  </si>
  <si>
    <t>Prioritas</t>
  </si>
  <si>
    <t>Status</t>
  </si>
  <si>
    <t>PIC (Ditugaskan)</t>
  </si>
  <si>
    <t>Tanggal Selesai</t>
  </si>
  <si>
    <t>Durasi (Hari)</t>
  </si>
  <si>
    <t>Solusi / Tindakan yang Dilakukan</t>
  </si>
  <si>
    <t>Catatan</t>
  </si>
  <si>
    <t>PT. Sumber Makmur</t>
  </si>
  <si>
    <t>Divisi Keuangan</t>
  </si>
  <si>
    <t>Koneksi internet di ruang Finance putus-nyambung sejak pagi.</t>
  </si>
  <si>
    <t>Tinggi</t>
  </si>
  <si>
    <t>Closed</t>
  </si>
  <si>
    <t>Farid</t>
  </si>
  <si>
    <t>Mengganti kabel LAN yang rusak dan restart switch lantai 2.</t>
  </si>
  <si>
    <t>Client sudah dikonfirmasi &amp; puas dengan penanganan.</t>
  </si>
  <si>
    <t>PT. Unit Test Automation</t>
  </si>
  <si>
    <t>QA Engineering</t>
  </si>
  <si>
    <t>Automated test ticket for integrity verification</t>
  </si>
  <si>
    <t>Automated QA</t>
  </si>
  <si>
    <t/>
  </si>
  <si>
    <t>Temporary test ticket</t>
  </si>
  <si>
    <t>LEGENDA &amp; PANDUAN PENGISIAN</t>
  </si>
  <si>
    <t>Warna Sel</t>
  </si>
  <si>
    <t>Kuning muda</t>
  </si>
  <si>
    <t>Sel yang WAJIB diisi manual oleh staf IT Support.</t>
  </si>
  <si>
    <t>Hijau muda</t>
  </si>
  <si>
    <t>Sel otomatis (formula) — jangan diisi/diubah manual, contoh: kolom No &amp; Durasi.</t>
  </si>
  <si>
    <t>Kerusakan perangkat fisik: komputer, laptop, monitor, dll.</t>
  </si>
  <si>
    <t>Masalah aplikasi, sistem operasi, error program.</t>
  </si>
  <si>
    <t>Koneksi internet, LAN/WiFi, VPN, server down.</t>
  </si>
  <si>
    <t>Lupa password, akun terkunci, permintaan akses baru.</t>
  </si>
  <si>
    <t>Printer, scanner, dan perangkat pendukung lain.</t>
  </si>
  <si>
    <t>Kategori di luar daftar di atas.</t>
  </si>
  <si>
    <t>Mengganggu operasional secara signifikan, harus segera ditangani (&lt; 1 hari).</t>
  </si>
  <si>
    <t>Sedang</t>
  </si>
  <si>
    <t>Mengganggu namun ada solusi sementara, target 1-3 hari.</t>
  </si>
  <si>
    <t>Rendah</t>
  </si>
  <si>
    <t>Tidak mendesak, dapat dijadwalkan, target &gt; 3 hari.</t>
  </si>
  <si>
    <t>Tiket baru masuk, belum ditindaklanjuti.</t>
  </si>
  <si>
    <t>Sedang dalam proses penanganan.</t>
  </si>
  <si>
    <t>Menunggu Client</t>
  </si>
  <si>
    <t>Menunggu respon/konfirmasi dari client.</t>
  </si>
  <si>
    <t>Selesai ditangani dan sudah dikonfirmasi client.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</si>
</sst>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0" x14ac:knownFonts="1">
    <font>
      <color theme="1"/>
      <family val="2"/>
      <scheme val="minor"/>
      <sz val="11"/>
      <name val="Calibri"/>
    </font>
    <font>
      <b/>
      <charset val="1"/>
      <color rgb="FF1F3864"/>
      <sz val="16"/>
      <name val="Arial"/>
    </font>
    <font>
      <i/>
      <charset val="1"/>
      <color rgb="FF595959"/>
      <sz val="10"/>
      <name val="Arial"/>
    </font>
    <font>
      <b/>
      <charset val="1"/>
      <color rgb="FFFFFFFF"/>
      <sz val="11"/>
      <name val="Arial"/>
    </font>
    <font>
      <b/>
      <charset val="1"/>
      <color rgb="FF595959"/>
      <sz val="9"/>
      <name val="Arial"/>
    </font>
    <font>
      <b/>
      <charset val="1"/>
      <color rgb="FF1F3864"/>
      <sz val="18"/>
      <name val="Arial"/>
    </font>
    <font>
      <b/>
      <charset val="1"/>
      <sz val="10"/>
      <name val="Arial"/>
    </font>
    <font>
      <charset val="1"/>
      <sz val="10"/>
      <name val="Arial"/>
    </font>
    <font>
      <b/>
      <charset val="1"/>
      <color rgb="FF404040"/>
      <sz val="10"/>
      <name val="Arial"/>
    </font>
    <font>
      <b/>
      <charset val="1"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F2F2F2"/>
        <bgColor rgb="FFEAF1DD"/>
      </patternFill>
    </fill>
    <fill>
      <patternFill patternType="solid">
        <fgColor rgb="FF1F3864"/>
        <bgColor rgb="FF404040"/>
      </patternFill>
    </fill>
    <fill>
      <patternFill patternType="solid">
        <fgColor rgb="FFEAF1DD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bottom"/>
    </xf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bottom" wrapText="1"/>
    </xf>
    <xf numFmtId="0" fontId="5" fillId="0" borderId="1" xfId="0" applyFont="1" applyBorder="1" applyAlignment="1">
      <alignment horizontal="center" vertical="bottom"/>
    </xf>
    <xf numFmtId="0" fontId="6" fillId="3" borderId="1" xfId="0" applyFont="1" applyFill="1" applyBorder="1" applyAlignment="1">
      <alignment vertical="bottom"/>
    </xf>
    <xf numFmtId="0" fontId="7" fillId="0" borderId="1" xfId="0" applyFont="1" applyBorder="1" applyAlignment="1">
      <alignment vertical="bottom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9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bottom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7">
    <dxf>
      <font>
        <b/>
        <charset val="1"/>
        <color rgb="FFC00000"/>
        <name val="Arial"/>
      </font>
      <fill>
        <patternFill>
          <bgColor rgb="FFF8CBAD"/>
        </patternFill>
      </fill>
    </dxf>
    <dxf>
      <font>
        <b/>
        <charset val="1"/>
        <color rgb="FF7F6000"/>
        <name val="Arial"/>
      </font>
      <fill>
        <patternFill>
          <bgColor rgb="FFFFE699"/>
        </patternFill>
      </fill>
    </dxf>
    <dxf>
      <font>
        <b/>
        <charset val="1"/>
        <color rgb="FF548235"/>
        <name val="Arial"/>
      </font>
      <fill>
        <patternFill>
          <bgColor rgb="FFC6E0B4"/>
        </patternFill>
      </fill>
    </dxf>
    <dxf>
      <font>
        <b/>
        <charset val="1"/>
        <color rgb="FFC00000"/>
        <name val="Arial"/>
      </font>
      <fill>
        <patternFill>
          <bgColor rgb="FFF8CBAD"/>
        </patternFill>
      </fill>
    </dxf>
    <dxf>
      <font>
        <b/>
        <charset val="1"/>
        <color rgb="FF7F6000"/>
        <name val="Arial"/>
      </font>
      <fill>
        <patternFill>
          <bgColor rgb="FFFFE699"/>
        </patternFill>
      </fill>
    </dxf>
    <dxf>
      <font>
        <b/>
        <charset val="1"/>
        <color rgb="FF2E5395"/>
        <name val="Arial"/>
      </font>
      <fill>
        <patternFill>
          <bgColor rgb="FFBDD7EE"/>
        </patternFill>
      </fill>
    </dxf>
    <dxf>
      <font>
        <b/>
        <charset val="1"/>
        <color rgb="FF548235"/>
        <name val="Arial"/>
      </font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26" customWidth="1"/>
    <col min="3" max="7" width="18" customWidth="1"/>
  </cols>
  <sheetData>
    <row r="2" ht="19.7" customHeight="1" spans="2:7" x14ac:dyDescent="0.25">
      <c r="B2" s="1" t="s">
        <v>0</v>
      </c>
      <c r="C2" s="1"/>
      <c r="D2" s="1"/>
      <c r="E2" s="1"/>
      <c r="F2" s="1"/>
      <c r="G2" s="1"/>
    </row>
    <row r="3" ht="15" customHeight="1" spans="2:7" x14ac:dyDescent="0.25">
      <c r="B3" s="2" t="s">
        <v>1</v>
      </c>
      <c r="C3" s="2"/>
      <c r="D3" s="2"/>
      <c r="E3" s="2"/>
      <c r="F3" s="2"/>
      <c r="G3" s="2"/>
    </row>
    <row r="5" ht="15" customHeight="1" spans="2:6" x14ac:dyDescent="0.25">
      <c r="B5" s="3" t="s">
        <v>2</v>
      </c>
      <c r="C5" s="3"/>
      <c r="D5" s="3"/>
      <c r="E5" s="3"/>
      <c r="F5" s="3"/>
    </row>
    <row r="6" ht="15" customHeight="1" spans="2:6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ht="30" customHeight="1" spans="2:6" x14ac:dyDescent="0.25">
      <c r="B7" s="5">
        <f>COUNTIF('Log Keluhan'!C6:C1000,"?*")</f>
        <v>1</v>
      </c>
      <c r="C7" s="5">
        <f>COUNTIF('Log Keluhan'!H6:H1000,"Open")</f>
        <v>0</v>
      </c>
      <c r="D7" s="5">
        <f>COUNTIF('Log Keluhan'!H6:H1000,"In Progress")</f>
        <v>0</v>
      </c>
      <c r="E7" s="5">
        <f>COUNTIF('Log Keluhan'!H6:H1000,"Closed")</f>
        <v>1</v>
      </c>
      <c r="F7" s="5">
        <f>COUNTIF('Log Keluhan'!G6:G1000,"Tinggi")</f>
        <v>1</v>
      </c>
    </row>
    <row r="10" ht="15" customHeight="1" spans="2:4" x14ac:dyDescent="0.25">
      <c r="B10" s="3" t="s">
        <v>8</v>
      </c>
      <c r="C10" s="3"/>
      <c r="D10" s="3"/>
    </row>
    <row r="11" ht="15" customHeight="1" spans="2:3" x14ac:dyDescent="0.25">
      <c r="B11" s="6" t="s">
        <v>9</v>
      </c>
      <c r="C11" s="6" t="s">
        <v>10</v>
      </c>
    </row>
    <row r="12" ht="15" customHeight="1" spans="2:3" x14ac:dyDescent="0.25">
      <c r="B12" s="7" t="s">
        <v>11</v>
      </c>
      <c r="C12" s="8">
        <f>COUNTIF('Log Keluhan'!F6:F1000,B12)</f>
        <v>0</v>
      </c>
    </row>
    <row r="13" ht="15" customHeight="1" spans="2:3" x14ac:dyDescent="0.25">
      <c r="B13" s="7" t="s">
        <v>12</v>
      </c>
      <c r="C13" s="8">
        <f>COUNTIF('Log Keluhan'!F6:F1000,B13)</f>
        <v>0</v>
      </c>
    </row>
    <row r="14" ht="15" customHeight="1" spans="2:3" x14ac:dyDescent="0.25">
      <c r="B14" s="7" t="s">
        <v>13</v>
      </c>
      <c r="C14" s="8">
        <f>COUNTIF('Log Keluhan'!F6:F1000,B14)</f>
        <v>0</v>
      </c>
    </row>
    <row r="15" ht="15" customHeight="1" spans="2:3" x14ac:dyDescent="0.25">
      <c r="B15" s="7" t="s">
        <v>14</v>
      </c>
      <c r="C15" s="8">
        <f>COUNTIF('Log Keluhan'!F6:F1000,B15)</f>
        <v>0</v>
      </c>
    </row>
    <row r="16" ht="15" customHeight="1" spans="2:3" x14ac:dyDescent="0.25">
      <c r="B16" s="7" t="s">
        <v>15</v>
      </c>
      <c r="C16" s="8">
        <f>COUNTIF('Log Keluhan'!F6:F1000,B16)</f>
        <v>0</v>
      </c>
    </row>
    <row r="17" ht="15" customHeight="1" spans="2:3" x14ac:dyDescent="0.25">
      <c r="B17" s="7" t="s">
        <v>16</v>
      </c>
      <c r="C17" s="8">
        <f>COUNTIF('Log Keluhan'!F6:F1000,B17)</f>
        <v>0</v>
      </c>
    </row>
    <row r="19" ht="15" customHeight="1" spans="2:2" x14ac:dyDescent="0.25">
      <c r="B19" s="9" t="s">
        <v>17</v>
      </c>
    </row>
    <row r="20" ht="15" customHeight="1" spans="2:2" x14ac:dyDescent="0.25">
      <c r="B20" s="10" t="s">
        <v>18</v>
      </c>
    </row>
    <row r="21" ht="15" customHeight="1" spans="2:2" x14ac:dyDescent="0.25">
      <c r="B21" s="10" t="s">
        <v>19</v>
      </c>
    </row>
    <row r="22" ht="15" customHeight="1" spans="2:2" x14ac:dyDescent="0.25">
      <c r="B22" s="10" t="s">
        <v>20</v>
      </c>
    </row>
  </sheetData>
  <mergeCells count="4">
    <mergeCell ref="B2:G2"/>
    <mergeCell ref="B3:G3"/>
    <mergeCell ref="B5:F5"/>
    <mergeCell ref="B10:D1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 zoomScale="100" zoomScaleNormal="100" view="normal">
      <pane ySplit="5" topLeftCell="A6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5" customWidth="1"/>
    <col min="2" max="2" width="14" customWidth="1"/>
    <col min="3" max="3" width="20" customWidth="1"/>
    <col min="4" max="5" width="18" customWidth="1"/>
    <col min="6" max="6" width="32" customWidth="1"/>
    <col min="7" max="7" width="12" customWidth="1"/>
    <col min="8" max="8" width="14" customWidth="1"/>
    <col min="9" max="9" width="16" customWidth="1"/>
    <col min="10" max="10" width="14" customWidth="1"/>
    <col min="11" max="11" width="12" customWidth="1"/>
    <col min="12" max="12" width="34" customWidth="1"/>
    <col min="13" max="13" width="22" customWidth="1"/>
  </cols>
  <sheetData>
    <row r="1" ht="25.5" customHeight="1" spans="1:13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" customHeight="1" spans="1:13" x14ac:dyDescent="0.25">
      <c r="A3" s="11" t="s">
        <v>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ht="31.5" customHeight="1" spans="1:13" x14ac:dyDescent="0.25">
      <c r="A5" s="12" t="s">
        <v>24</v>
      </c>
      <c r="B5" s="12" t="s">
        <v>25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31</v>
      </c>
      <c r="I5" s="12" t="s">
        <v>32</v>
      </c>
      <c r="J5" s="12" t="s">
        <v>33</v>
      </c>
      <c r="K5" s="12" t="s">
        <v>34</v>
      </c>
      <c r="L5" s="12" t="s">
        <v>35</v>
      </c>
      <c r="M5" s="12" t="s">
        <v>36</v>
      </c>
    </row>
    <row r="6" ht="35.05" customHeight="1" spans="1:13" x14ac:dyDescent="0.25">
      <c r="A6" s="8">
        <v>1</v>
      </c>
      <c r="B6" s="13">
        <v>46251</v>
      </c>
      <c r="C6" s="14" t="s">
        <v>37</v>
      </c>
      <c r="D6" s="14" t="s">
        <v>38</v>
      </c>
      <c r="E6" s="14" t="s">
        <v>13</v>
      </c>
      <c r="F6" s="14" t="s">
        <v>39</v>
      </c>
      <c r="G6" s="8" t="s">
        <v>40</v>
      </c>
      <c r="H6" s="8" t="s">
        <v>41</v>
      </c>
      <c r="I6" s="8" t="s">
        <v>42</v>
      </c>
      <c r="J6" s="13">
        <v>46251</v>
      </c>
      <c r="K6" s="15">
        <f>IF(AND(B6&lt;&gt;"",J6&lt;&gt;""),J6-B6,"")</f>
        <v>0</v>
      </c>
      <c r="L6" s="14" t="s">
        <v>43</v>
      </c>
      <c r="M6" s="14" t="s">
        <v>44</v>
      </c>
    </row>
    <row r="7" ht="35.05" customHeight="1" spans="1:13" x14ac:dyDescent="0.25">
      <c r="A7" s="8">
        <f>IF(C7="","",ROW()-5)</f>
      </c>
      <c r="B7" s="13">
        <v>46254</v>
      </c>
      <c r="C7" s="14" t="s">
        <v>45</v>
      </c>
      <c r="D7" s="14" t="s">
        <v>46</v>
      </c>
      <c r="E7" s="14" t="s">
        <v>12</v>
      </c>
      <c r="F7" s="14" t="s">
        <v>47</v>
      </c>
      <c r="G7" s="8" t="s">
        <v>40</v>
      </c>
      <c r="H7" s="8" t="s">
        <v>4</v>
      </c>
      <c r="I7" s="8" t="s">
        <v>48</v>
      </c>
      <c r="J7" s="13"/>
      <c r="K7" s="15">
        <f>IF(AND(B7&lt;&gt;"",J7&lt;&gt;""),J7-B7,"")</f>
      </c>
      <c r="L7" s="14" t="s">
        <v>49</v>
      </c>
      <c r="M7" s="14" t="s">
        <v>50</v>
      </c>
    </row>
    <row r="8" ht="30" customHeight="1" spans="1:13" x14ac:dyDescent="0.25">
      <c r="A8" s="8">
        <f>IF(C8="","",ROW()-5)</f>
      </c>
      <c r="B8" s="13"/>
      <c r="C8" s="14"/>
      <c r="D8" s="14"/>
      <c r="E8" s="14"/>
      <c r="F8" s="14"/>
      <c r="G8" s="8"/>
      <c r="H8" s="8"/>
      <c r="I8" s="8"/>
      <c r="J8" s="13"/>
      <c r="K8" s="15">
        <f>IF(AND(B8&lt;&gt;"",J8&lt;&gt;""),J8-B8,"")</f>
      </c>
      <c r="L8" s="14"/>
      <c r="M8" s="14"/>
    </row>
    <row r="9" ht="30" customHeight="1" spans="1:13" x14ac:dyDescent="0.25">
      <c r="A9" s="8">
        <f>IF(C9="","",ROW()-5)</f>
      </c>
      <c r="B9" s="13"/>
      <c r="C9" s="14"/>
      <c r="D9" s="14"/>
      <c r="E9" s="14"/>
      <c r="F9" s="14"/>
      <c r="G9" s="8"/>
      <c r="H9" s="8"/>
      <c r="I9" s="8"/>
      <c r="J9" s="13"/>
      <c r="K9" s="15">
        <f>IF(AND(B9&lt;&gt;"",J9&lt;&gt;""),J9-B9,"")</f>
      </c>
      <c r="L9" s="14"/>
      <c r="M9" s="14"/>
    </row>
    <row r="10" ht="30" customHeight="1" spans="1:13" x14ac:dyDescent="0.25">
      <c r="A10" s="8">
        <f>IF(C10="","",ROW()-5)</f>
      </c>
      <c r="B10" s="13"/>
      <c r="C10" s="14"/>
      <c r="D10" s="14"/>
      <c r="E10" s="14"/>
      <c r="F10" s="14"/>
      <c r="G10" s="8"/>
      <c r="H10" s="8"/>
      <c r="I10" s="8"/>
      <c r="J10" s="13"/>
      <c r="K10" s="15">
        <f>IF(AND(B10&lt;&gt;"",J10&lt;&gt;""),J10-B10,"")</f>
      </c>
      <c r="L10" s="14"/>
      <c r="M10" s="14"/>
    </row>
    <row r="11" ht="30" customHeight="1" spans="1:13" x14ac:dyDescent="0.25">
      <c r="A11" s="8">
        <f>IF(C11="","",ROW()-5)</f>
      </c>
      <c r="B11" s="13"/>
      <c r="C11" s="14"/>
      <c r="D11" s="14"/>
      <c r="E11" s="14"/>
      <c r="F11" s="14"/>
      <c r="G11" s="8"/>
      <c r="H11" s="8"/>
      <c r="I11" s="8"/>
      <c r="J11" s="13"/>
      <c r="K11" s="15">
        <f>IF(AND(B11&lt;&gt;"",J11&lt;&gt;""),J11-B11,"")</f>
      </c>
      <c r="L11" s="14"/>
      <c r="M11" s="14"/>
    </row>
    <row r="12" ht="30" customHeight="1" spans="1:13" x14ac:dyDescent="0.25">
      <c r="A12" s="8">
        <f>IF(C12="","",ROW()-5)</f>
      </c>
      <c r="B12" s="13"/>
      <c r="C12" s="14"/>
      <c r="D12" s="14"/>
      <c r="E12" s="14"/>
      <c r="F12" s="14"/>
      <c r="G12" s="8"/>
      <c r="H12" s="8"/>
      <c r="I12" s="8"/>
      <c r="J12" s="13"/>
      <c r="K12" s="15">
        <f>IF(AND(B12&lt;&gt;"",J12&lt;&gt;""),J12-B12,"")</f>
      </c>
      <c r="L12" s="14"/>
      <c r="M12" s="14"/>
    </row>
    <row r="13" ht="30" customHeight="1" spans="1:13" x14ac:dyDescent="0.25">
      <c r="A13" s="8">
        <f>IF(C13="","",ROW()-5)</f>
      </c>
      <c r="B13" s="13"/>
      <c r="C13" s="14"/>
      <c r="D13" s="14"/>
      <c r="E13" s="14"/>
      <c r="F13" s="14"/>
      <c r="G13" s="8"/>
      <c r="H13" s="8"/>
      <c r="I13" s="8"/>
      <c r="J13" s="13"/>
      <c r="K13" s="15">
        <f>IF(AND(B13&lt;&gt;"",J13&lt;&gt;""),J13-B13,"")</f>
      </c>
      <c r="L13" s="14"/>
      <c r="M13" s="14"/>
    </row>
    <row r="14" ht="30" customHeight="1" spans="1:13" x14ac:dyDescent="0.25">
      <c r="A14" s="8">
        <f>IF(C14="","",ROW()-5)</f>
      </c>
      <c r="B14" s="13"/>
      <c r="C14" s="14"/>
      <c r="D14" s="14"/>
      <c r="E14" s="14"/>
      <c r="F14" s="14"/>
      <c r="G14" s="8"/>
      <c r="H14" s="8"/>
      <c r="I14" s="8"/>
      <c r="J14" s="13"/>
      <c r="K14" s="15">
        <f>IF(AND(B14&lt;&gt;"",J14&lt;&gt;""),J14-B14,"")</f>
      </c>
      <c r="L14" s="14"/>
      <c r="M14" s="14"/>
    </row>
    <row r="15" ht="30" customHeight="1" spans="1:13" x14ac:dyDescent="0.25">
      <c r="A15" s="8">
        <f>IF(C15="","",ROW()-5)</f>
      </c>
      <c r="B15" s="13"/>
      <c r="C15" s="14"/>
      <c r="D15" s="14"/>
      <c r="E15" s="14"/>
      <c r="F15" s="14"/>
      <c r="G15" s="8"/>
      <c r="H15" s="8"/>
      <c r="I15" s="8"/>
      <c r="J15" s="13"/>
      <c r="K15" s="15">
        <f>IF(AND(B15&lt;&gt;"",J15&lt;&gt;""),J15-B15,"")</f>
      </c>
      <c r="L15" s="14"/>
      <c r="M15" s="14"/>
    </row>
    <row r="16" ht="30" customHeight="1" spans="1:13" x14ac:dyDescent="0.25">
      <c r="A16" s="8">
        <f>IF(C16="","",ROW()-5)</f>
      </c>
      <c r="B16" s="13"/>
      <c r="C16" s="14"/>
      <c r="D16" s="14"/>
      <c r="E16" s="14"/>
      <c r="F16" s="14"/>
      <c r="G16" s="8"/>
      <c r="H16" s="8"/>
      <c r="I16" s="8"/>
      <c r="J16" s="13"/>
      <c r="K16" s="15">
        <f>IF(AND(B16&lt;&gt;"",J16&lt;&gt;""),J16-B16,"")</f>
      </c>
      <c r="L16" s="14"/>
      <c r="M16" s="14"/>
    </row>
    <row r="17" ht="30" customHeight="1" spans="1:13" x14ac:dyDescent="0.25">
      <c r="A17" s="8">
        <f>IF(C17="","",ROW()-5)</f>
      </c>
      <c r="B17" s="13"/>
      <c r="C17" s="14"/>
      <c r="D17" s="14"/>
      <c r="E17" s="14"/>
      <c r="F17" s="14"/>
      <c r="G17" s="8"/>
      <c r="H17" s="8"/>
      <c r="I17" s="8"/>
      <c r="J17" s="13"/>
      <c r="K17" s="15">
        <f>IF(AND(B17&lt;&gt;"",J17&lt;&gt;""),J17-B17,"")</f>
      </c>
      <c r="L17" s="14"/>
      <c r="M17" s="14"/>
    </row>
    <row r="18" ht="30" customHeight="1" spans="1:13" x14ac:dyDescent="0.25">
      <c r="A18" s="8">
        <f>IF(C18="","",ROW()-5)</f>
      </c>
      <c r="B18" s="13"/>
      <c r="C18" s="14"/>
      <c r="D18" s="14"/>
      <c r="E18" s="14"/>
      <c r="F18" s="14"/>
      <c r="G18" s="8"/>
      <c r="H18" s="8"/>
      <c r="I18" s="8"/>
      <c r="J18" s="13"/>
      <c r="K18" s="15">
        <f>IF(AND(B18&lt;&gt;"",J18&lt;&gt;""),J18-B18,"")</f>
      </c>
      <c r="L18" s="14"/>
      <c r="M18" s="14"/>
    </row>
    <row r="19" ht="30" customHeight="1" spans="1:13" x14ac:dyDescent="0.25">
      <c r="A19" s="8">
        <f>IF(C19="","",ROW()-5)</f>
      </c>
      <c r="B19" s="13"/>
      <c r="C19" s="14"/>
      <c r="D19" s="14"/>
      <c r="E19" s="14"/>
      <c r="F19" s="14"/>
      <c r="G19" s="8"/>
      <c r="H19" s="8"/>
      <c r="I19" s="8"/>
      <c r="J19" s="13"/>
      <c r="K19" s="15">
        <f>IF(AND(B19&lt;&gt;"",J19&lt;&gt;""),J19-B19,"")</f>
      </c>
      <c r="L19" s="14"/>
      <c r="M19" s="14"/>
    </row>
    <row r="20" ht="30" customHeight="1" spans="1:13" x14ac:dyDescent="0.25">
      <c r="A20" s="8">
        <f>IF(C20="","",ROW()-5)</f>
      </c>
      <c r="B20" s="13"/>
      <c r="C20" s="14"/>
      <c r="D20" s="14"/>
      <c r="E20" s="14"/>
      <c r="F20" s="14"/>
      <c r="G20" s="8"/>
      <c r="H20" s="8"/>
      <c r="I20" s="8"/>
      <c r="J20" s="13"/>
      <c r="K20" s="15">
        <f>IF(AND(B20&lt;&gt;"",J20&lt;&gt;""),J20-B20,"")</f>
      </c>
      <c r="L20" s="14"/>
      <c r="M20" s="14"/>
    </row>
    <row r="21" ht="30" customHeight="1" spans="1:13" x14ac:dyDescent="0.25">
      <c r="A21" s="8">
        <f>IF(C21="","",ROW()-5)</f>
      </c>
      <c r="B21" s="13"/>
      <c r="C21" s="14"/>
      <c r="D21" s="14"/>
      <c r="E21" s="14"/>
      <c r="F21" s="14"/>
      <c r="G21" s="8"/>
      <c r="H21" s="8"/>
      <c r="I21" s="8"/>
      <c r="J21" s="13"/>
      <c r="K21" s="15">
        <f>IF(AND(B21&lt;&gt;"",J21&lt;&gt;""),J21-B21,"")</f>
      </c>
      <c r="L21" s="14"/>
      <c r="M21" s="14"/>
    </row>
    <row r="22" ht="30" customHeight="1" spans="1:13" x14ac:dyDescent="0.25">
      <c r="A22" s="8">
        <f>IF(C22="","",ROW()-5)</f>
      </c>
      <c r="B22" s="13"/>
      <c r="C22" s="14"/>
      <c r="D22" s="14"/>
      <c r="E22" s="14"/>
      <c r="F22" s="14"/>
      <c r="G22" s="8"/>
      <c r="H22" s="8"/>
      <c r="I22" s="8"/>
      <c r="J22" s="13"/>
      <c r="K22" s="15">
        <f>IF(AND(B22&lt;&gt;"",J22&lt;&gt;""),J22-B22,"")</f>
      </c>
      <c r="L22" s="14"/>
      <c r="M22" s="14"/>
    </row>
    <row r="23" ht="30" customHeight="1" spans="1:13" x14ac:dyDescent="0.25">
      <c r="A23" s="8">
        <f>IF(C23="","",ROW()-5)</f>
      </c>
      <c r="B23" s="13"/>
      <c r="C23" s="14"/>
      <c r="D23" s="14"/>
      <c r="E23" s="14"/>
      <c r="F23" s="14"/>
      <c r="G23" s="8"/>
      <c r="H23" s="8"/>
      <c r="I23" s="8"/>
      <c r="J23" s="13"/>
      <c r="K23" s="15">
        <f>IF(AND(B23&lt;&gt;"",J23&lt;&gt;""),J23-B23,"")</f>
      </c>
      <c r="L23" s="14"/>
      <c r="M23" s="14"/>
    </row>
    <row r="24" ht="30" customHeight="1" spans="1:13" x14ac:dyDescent="0.25">
      <c r="A24" s="8">
        <f>IF(C24="","",ROW()-5)</f>
      </c>
      <c r="B24" s="13"/>
      <c r="C24" s="14"/>
      <c r="D24" s="14"/>
      <c r="E24" s="14"/>
      <c r="F24" s="14"/>
      <c r="G24" s="8"/>
      <c r="H24" s="8"/>
      <c r="I24" s="8"/>
      <c r="J24" s="13"/>
      <c r="K24" s="15">
        <f>IF(AND(B24&lt;&gt;"",J24&lt;&gt;""),J24-B24,"")</f>
      </c>
      <c r="L24" s="14"/>
      <c r="M24" s="14"/>
    </row>
    <row r="25" ht="30" customHeight="1" spans="1:13" x14ac:dyDescent="0.25">
      <c r="A25" s="8">
        <f>IF(C25="","",ROW()-5)</f>
      </c>
      <c r="B25" s="13"/>
      <c r="C25" s="14"/>
      <c r="D25" s="14"/>
      <c r="E25" s="14"/>
      <c r="F25" s="14"/>
      <c r="G25" s="8"/>
      <c r="H25" s="8"/>
      <c r="I25" s="8"/>
      <c r="J25" s="13"/>
      <c r="K25" s="15">
        <f>IF(AND(B25&lt;&gt;"",J25&lt;&gt;""),J25-B25,"")</f>
      </c>
      <c r="L25" s="14"/>
      <c r="M25" s="14"/>
    </row>
    <row r="26" ht="30" customHeight="1" spans="1:13" x14ac:dyDescent="0.25">
      <c r="A26" s="8">
        <f>IF(C26="","",ROW()-5)</f>
      </c>
      <c r="B26" s="13"/>
      <c r="C26" s="14"/>
      <c r="D26" s="14"/>
      <c r="E26" s="14"/>
      <c r="F26" s="14"/>
      <c r="G26" s="8"/>
      <c r="H26" s="8"/>
      <c r="I26" s="8"/>
      <c r="J26" s="13"/>
      <c r="K26" s="15">
        <f>IF(AND(B26&lt;&gt;"",J26&lt;&gt;""),J26-B26,"")</f>
      </c>
      <c r="L26" s="14"/>
      <c r="M26" s="14"/>
    </row>
    <row r="27" ht="30" customHeight="1" spans="1:13" x14ac:dyDescent="0.25">
      <c r="A27" s="8">
        <f>IF(C27="","",ROW()-5)</f>
      </c>
      <c r="B27" s="13"/>
      <c r="C27" s="14"/>
      <c r="D27" s="14"/>
      <c r="E27" s="14"/>
      <c r="F27" s="14"/>
      <c r="G27" s="8"/>
      <c r="H27" s="8"/>
      <c r="I27" s="8"/>
      <c r="J27" s="13"/>
      <c r="K27" s="15">
        <f>IF(AND(B27&lt;&gt;"",J27&lt;&gt;""),J27-B27,"")</f>
      </c>
      <c r="L27" s="14"/>
      <c r="M27" s="14"/>
    </row>
    <row r="28" ht="30" customHeight="1" spans="1:13" x14ac:dyDescent="0.25">
      <c r="A28" s="8">
        <f>IF(C28="","",ROW()-5)</f>
      </c>
      <c r="B28" s="13"/>
      <c r="C28" s="14"/>
      <c r="D28" s="14"/>
      <c r="E28" s="14"/>
      <c r="F28" s="14"/>
      <c r="G28" s="8"/>
      <c r="H28" s="8"/>
      <c r="I28" s="8"/>
      <c r="J28" s="13"/>
      <c r="K28" s="15">
        <f>IF(AND(B28&lt;&gt;"",J28&lt;&gt;""),J28-B28,"")</f>
      </c>
      <c r="L28" s="14"/>
      <c r="M28" s="14"/>
    </row>
    <row r="29" ht="30" customHeight="1" spans="1:13" x14ac:dyDescent="0.25">
      <c r="A29" s="8">
        <f>IF(C29="","",ROW()-5)</f>
      </c>
      <c r="B29" s="13"/>
      <c r="C29" s="14"/>
      <c r="D29" s="14"/>
      <c r="E29" s="14"/>
      <c r="F29" s="14"/>
      <c r="G29" s="8"/>
      <c r="H29" s="8"/>
      <c r="I29" s="8"/>
      <c r="J29" s="13"/>
      <c r="K29" s="15">
        <f>IF(AND(B29&lt;&gt;"",J29&lt;&gt;""),J29-B29,"")</f>
      </c>
      <c r="L29" s="14"/>
      <c r="M29" s="14"/>
    </row>
    <row r="30" ht="30" customHeight="1" spans="1:13" x14ac:dyDescent="0.25">
      <c r="A30" s="8">
        <f>IF(C30="","",ROW()-5)</f>
      </c>
      <c r="B30" s="13"/>
      <c r="C30" s="14"/>
      <c r="D30" s="14"/>
      <c r="E30" s="14"/>
      <c r="F30" s="14"/>
      <c r="G30" s="8"/>
      <c r="H30" s="8"/>
      <c r="I30" s="8"/>
      <c r="J30" s="13"/>
      <c r="K30" s="15">
        <f>IF(AND(B30&lt;&gt;"",J30&lt;&gt;""),J30-B30,"")</f>
      </c>
      <c r="L30" s="14"/>
      <c r="M30" s="14"/>
    </row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</sheetData>
  <mergeCells count="3">
    <mergeCell ref="A1:M1"/>
    <mergeCell ref="A2:M2"/>
    <mergeCell ref="A3:M3"/>
  </mergeCells>
  <conditionalFormatting sqref="G6:G30">
    <cfRule type="cellIs" dxfId="0" priority="2" operator="equal">
      <formula>"Tinggi"</formula>
    </cfRule>
    <cfRule type="cellIs" dxfId="1" priority="3" operator="equal">
      <formula>"Sedang"</formula>
    </cfRule>
    <cfRule type="cellIs" dxfId="2" priority="4" operator="equal">
      <formula>"Rendah"</formula>
    </cfRule>
  </conditionalFormatting>
  <conditionalFormatting sqref="H6:H30">
    <cfRule type="cellIs" dxfId="3" priority="5" operator="equal">
      <formula>"Open"</formula>
    </cfRule>
    <cfRule type="cellIs" dxfId="4" priority="6" operator="equal">
      <formula>"In Progress"</formula>
    </cfRule>
    <cfRule type="cellIs" dxfId="5" priority="7" operator="equal">
      <formula>"Menunggu Client"</formula>
    </cfRule>
    <cfRule type="cellIs" dxfId="6" priority="8" operator="equal">
      <formula>"Closed"</formula>
    </cfRule>
  </conditionalFormatting>
  <dataValidations count="6">
    <dataValidation type="list" allowBlank="1" errorStyle="stop" errorTitle="Kategori tidak valid" error="Pilih salah satu kategori dari daftar." sqref="E10:E30">
      <formula1>"Hardware,Software,Jaringan/Network,Akun/Akses (Login),Printer/Peripheral,Lainnya"</formula1>
      <formula2>0</formula2>
    </dataValidation>
    <dataValidation type="list" allowBlank="1" errorStyle="stop" errorTitle="Kategori tidak valid" error="Pilih salah satu kategori dari daftar." sqref="E6:E30">
      <formula1>"Hardware,Software,Jaringan/Network,Akun/Akses (Login),Printer/Peripheral,Lainnya"</formula1>
      <formula2>0</formula2>
    </dataValidation>
    <dataValidation type="list" allowBlank="1" errorStyle="stop" sqref="G10:G30">
      <formula1>"Tinggi,Sedang,Rendah"</formula1>
      <formula2>0</formula2>
    </dataValidation>
    <dataValidation type="list" allowBlank="1" errorStyle="stop" sqref="G6:G30">
      <formula1>"Tinggi,Sedang,Rendah"</formula1>
      <formula2>0</formula2>
    </dataValidation>
    <dataValidation type="list" allowBlank="1" errorStyle="stop" sqref="H10:H30">
      <formula1>"Open,In Progress,Menunggu Client,Closed"</formula1>
      <formula2>0</formula2>
    </dataValidation>
    <dataValidation type="list" allowBlank="1" errorStyle="stop" sqref="H6:H30">
      <formula1>"Open,In Progress,Menunggu Client,Closed"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26" customWidth="1"/>
    <col min="3" max="3" width="50" customWidth="1"/>
  </cols>
  <sheetData>
    <row r="2" ht="19.7" customHeight="1" spans="2:3" x14ac:dyDescent="0.25">
      <c r="B2" s="16" t="s">
        <v>51</v>
      </c>
      <c r="C2" s="16"/>
    </row>
    <row r="4" ht="15" customHeight="1" spans="2:3" x14ac:dyDescent="0.25">
      <c r="B4" s="3" t="s">
        <v>52</v>
      </c>
      <c r="C4" s="3"/>
    </row>
    <row r="5" ht="15" customHeight="1" spans="2:3" x14ac:dyDescent="0.25">
      <c r="B5" s="17" t="s">
        <v>53</v>
      </c>
      <c r="C5" s="18" t="s">
        <v>54</v>
      </c>
    </row>
    <row r="6" ht="23.85" customHeight="1" spans="2:3" x14ac:dyDescent="0.25">
      <c r="B6" s="17" t="s">
        <v>55</v>
      </c>
      <c r="C6" s="18" t="s">
        <v>56</v>
      </c>
    </row>
    <row r="8" ht="15" customHeight="1" spans="2:3" x14ac:dyDescent="0.25">
      <c r="B8" s="3" t="s">
        <v>28</v>
      </c>
      <c r="C8" s="3"/>
    </row>
    <row r="9" ht="15" customHeight="1" spans="2:3" x14ac:dyDescent="0.25">
      <c r="B9" s="17" t="s">
        <v>11</v>
      </c>
      <c r="C9" s="18" t="s">
        <v>57</v>
      </c>
    </row>
    <row r="10" ht="15" customHeight="1" spans="2:3" x14ac:dyDescent="0.25">
      <c r="B10" s="17" t="s">
        <v>12</v>
      </c>
      <c r="C10" s="18" t="s">
        <v>58</v>
      </c>
    </row>
    <row r="11" ht="15" customHeight="1" spans="2:3" x14ac:dyDescent="0.25">
      <c r="B11" s="17" t="s">
        <v>13</v>
      </c>
      <c r="C11" s="18" t="s">
        <v>59</v>
      </c>
    </row>
    <row r="12" ht="15" customHeight="1" spans="2:3" x14ac:dyDescent="0.25">
      <c r="B12" s="17" t="s">
        <v>14</v>
      </c>
      <c r="C12" s="18" t="s">
        <v>60</v>
      </c>
    </row>
    <row r="13" ht="15" customHeight="1" spans="2:3" x14ac:dyDescent="0.25">
      <c r="B13" s="17" t="s">
        <v>15</v>
      </c>
      <c r="C13" s="18" t="s">
        <v>61</v>
      </c>
    </row>
    <row r="14" ht="15" customHeight="1" spans="2:3" x14ac:dyDescent="0.25">
      <c r="B14" s="17" t="s">
        <v>16</v>
      </c>
      <c r="C14" s="18" t="s">
        <v>62</v>
      </c>
    </row>
    <row r="16" ht="15" customHeight="1" spans="2:3" x14ac:dyDescent="0.25">
      <c r="B16" s="3" t="s">
        <v>30</v>
      </c>
      <c r="C16" s="3"/>
    </row>
    <row r="17" ht="23.85" customHeight="1" spans="2:3" x14ac:dyDescent="0.25">
      <c r="B17" s="17" t="s">
        <v>40</v>
      </c>
      <c r="C17" s="18" t="s">
        <v>63</v>
      </c>
    </row>
    <row r="18" ht="15" customHeight="1" spans="2:3" x14ac:dyDescent="0.25">
      <c r="B18" s="17" t="s">
        <v>64</v>
      </c>
      <c r="C18" s="18" t="s">
        <v>65</v>
      </c>
    </row>
    <row r="19" ht="15" customHeight="1" spans="2:3" x14ac:dyDescent="0.25">
      <c r="B19" s="17" t="s">
        <v>66</v>
      </c>
      <c r="C19" s="18" t="s">
        <v>67</v>
      </c>
    </row>
    <row r="21" ht="15" customHeight="1" spans="2:3" x14ac:dyDescent="0.25">
      <c r="B21" s="3" t="s">
        <v>31</v>
      </c>
      <c r="C21" s="3"/>
    </row>
    <row r="22" ht="15" customHeight="1" spans="2:3" x14ac:dyDescent="0.25">
      <c r="B22" s="17" t="s">
        <v>4</v>
      </c>
      <c r="C22" s="18" t="s">
        <v>68</v>
      </c>
    </row>
    <row r="23" ht="15" customHeight="1" spans="2:3" x14ac:dyDescent="0.25">
      <c r="B23" s="17" t="s">
        <v>5</v>
      </c>
      <c r="C23" s="18" t="s">
        <v>69</v>
      </c>
    </row>
    <row r="24" ht="15" customHeight="1" spans="2:3" x14ac:dyDescent="0.25">
      <c r="B24" s="17" t="s">
        <v>70</v>
      </c>
      <c r="C24" s="18" t="s">
        <v>71</v>
      </c>
    </row>
    <row r="25" ht="15" customHeight="1" spans="2:3" x14ac:dyDescent="0.25">
      <c r="B25" s="17" t="s">
        <v>41</v>
      </c>
      <c r="C25" s="18" t="s">
        <v>72</v>
      </c>
    </row>
  </sheetData>
  <mergeCells count="5">
    <mergeCell ref="B2:C2"/>
    <mergeCell ref="B4:C4"/>
    <mergeCell ref="B8:C8"/>
    <mergeCell ref="B16:C16"/>
    <mergeCell ref="B21:C2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Log Keluhan</vt:lpstr>
      <vt:lpstr>Legenda &amp; Panduan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2026-08-16T17:59:21Z</dcterms:created>
  <dcterms:modified xsi:type="dcterms:W3CDTF">2026-08-16T17:59:21Z</dcterms:modified>
</cp:coreProperties>
</file>